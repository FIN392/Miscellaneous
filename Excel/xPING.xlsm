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359e86efa0ae4e/Escritorio/"/>
    </mc:Choice>
  </mc:AlternateContent>
  <xr:revisionPtr revIDLastSave="65650" documentId="8_{040B4B2D-2B3C-4A34-93DA-7CB69FAB0EAB}" xr6:coauthVersionLast="47" xr6:coauthVersionMax="47" xr10:uidLastSave="{8884777B-B517-47C5-8306-0EB845565C0D}"/>
  <bookViews>
    <workbookView xWindow="1950" yWindow="3660" windowWidth="34260" windowHeight="11385" xr2:uid="{33153314-CB9A-4D65-ADDF-8E82967A2F97}"/>
  </bookViews>
  <sheets>
    <sheet name="Dashboard" sheetId="1" r:id="rId1"/>
    <sheet name="Graph" sheetId="6" r:id="rId2"/>
    <sheet name="Data" sheetId="2" r:id="rId3"/>
    <sheet name="Config" sheetId="4" r:id="rId4"/>
  </sheets>
  <functionGroups builtInGroupCount="19"/>
  <definedNames>
    <definedName name="Choose_Server_Name">#N/A</definedName>
    <definedName name="Delay">Config!$D$2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2" l="1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7" i="1"/>
  <c r="D8" i="1"/>
  <c r="D9" i="1"/>
  <c r="D10" i="1"/>
  <c r="D11" i="1"/>
  <c r="D12" i="1"/>
  <c r="C7" i="1"/>
  <c r="C8" i="1"/>
  <c r="C9" i="1"/>
  <c r="C10" i="1"/>
  <c r="C11" i="1"/>
  <c r="C12" i="1"/>
</calcChain>
</file>

<file path=xl/sharedStrings.xml><?xml version="1.0" encoding="utf-8"?>
<sst xmlns="http://schemas.openxmlformats.org/spreadsheetml/2006/main" count="155" uniqueCount="57">
  <si>
    <t>Time Stamp</t>
  </si>
  <si>
    <t>Server Name</t>
  </si>
  <si>
    <t>IP Address</t>
  </si>
  <si>
    <t>TTL</t>
  </si>
  <si>
    <t>Latency (ms)</t>
  </si>
  <si>
    <t>Result Code</t>
  </si>
  <si>
    <t>Result description</t>
  </si>
  <si>
    <t>Code</t>
  </si>
  <si>
    <t>Description</t>
  </si>
  <si>
    <t>Servers to check</t>
  </si>
  <si>
    <t>one.one.one.one</t>
  </si>
  <si>
    <t>dns.google</t>
  </si>
  <si>
    <t>localhost</t>
  </si>
  <si>
    <t>::1</t>
  </si>
  <si>
    <t>8.8.4.4</t>
  </si>
  <si>
    <t>1.0.0.1</t>
  </si>
  <si>
    <t>Success</t>
  </si>
  <si>
    <t>Buffer Too Small</t>
  </si>
  <si>
    <t>Destination Net Unreachable</t>
  </si>
  <si>
    <t>Destination Host Unreachable</t>
  </si>
  <si>
    <t>Destination Protocol Unreachable</t>
  </si>
  <si>
    <t>Destination Port Unreachable</t>
  </si>
  <si>
    <t>No Resources</t>
  </si>
  <si>
    <t>Bad Option</t>
  </si>
  <si>
    <t>Hardware Error</t>
  </si>
  <si>
    <t>Packet Too Big</t>
  </si>
  <si>
    <t>Request Timed Out</t>
  </si>
  <si>
    <t>Bad Request</t>
  </si>
  <si>
    <t>Bad Route</t>
  </si>
  <si>
    <t>TimeToLive Expired Transit</t>
  </si>
  <si>
    <t>TimeToLive Expired Reassembly</t>
  </si>
  <si>
    <t>Parameter Problem</t>
  </si>
  <si>
    <t>Source Quench</t>
  </si>
  <si>
    <t>Option Too Big</t>
  </si>
  <si>
    <t>Bad Destination</t>
  </si>
  <si>
    <t>Negotiating IPSEC</t>
  </si>
  <si>
    <t>General Failure</t>
  </si>
  <si>
    <t>AVERAGE (ms)</t>
  </si>
  <si>
    <t>ERRORS</t>
  </si>
  <si>
    <t>2.- Press the START button</t>
  </si>
  <si>
    <t>INSTRUCTIONS</t>
  </si>
  <si>
    <t>1.- Add or remove the servers you want to check, leaving the other two columns as they are</t>
  </si>
  <si>
    <t>3.- The test will run until you click the STOP button</t>
  </si>
  <si>
    <t>4.- Check the results in the tabla and the graph</t>
  </si>
  <si>
    <t>Select only one server in the slicer to see the time graph</t>
  </si>
  <si>
    <t>Delay between tests (sec):</t>
  </si>
  <si>
    <t>Result code table:</t>
  </si>
  <si>
    <t>sharepoint.com</t>
  </si>
  <si>
    <t>amazon.es</t>
  </si>
  <si>
    <t>twitter.com</t>
  </si>
  <si>
    <t>8.8.8.8</t>
  </si>
  <si>
    <t>13.107.6.168</t>
  </si>
  <si>
    <t>52.95.120.38</t>
  </si>
  <si>
    <t>104.244.42.193</t>
  </si>
  <si>
    <t>54.239.33.90</t>
  </si>
  <si>
    <t>13.107.9.168</t>
  </si>
  <si>
    <t>52.95.116.112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</si>
</sst>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yyyy/mm/dd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8">
    <xf numFmtId="0" fontId="0" fillId="0" borderId="0" xfId="0"/>
    <xf numFmtId="165" fontId="0" fillId="0" borderId="0" xfId="0" applyNumberFormat="1"/>
    <xf numFmtId="43" fontId="0" fillId="0" borderId="0" xfId="1" applyFont="1"/>
    <xf numFmtId="9" fontId="0" fillId="0" borderId="0" xfId="2" applyFont="1"/>
    <xf numFmtId="0" fontId="2" fillId="0" borderId="0" xfId="3"/>
    <xf numFmtId="0" fontId="2" fillId="0" borderId="0" xfId="3" applyAlignment="1">
      <alignment horizontal="left" vertical="top"/>
    </xf>
    <xf numFmtId="0" fontId="3" fillId="0" borderId="1" xfId="4" applyAlignment="1">
      <alignment horizontal="left" vertical="top"/>
    </xf>
    <xf numFmtId="0" fontId="2" fillId="0" borderId="0" xfId="3" applyAlignment="1">
      <alignment horizontal="left" vertical="top"/>
    </xf>
  </cellXfs>
  <cellStyles count="5">
    <cellStyle name="Encabezado 1" xfId="4" builtinId="16"/>
    <cellStyle name="Millares" xfId="1" builtinId="3"/>
    <cellStyle name="Normal" xfId="0" builtinId="0"/>
    <cellStyle name="Porcentaje" xfId="2" builtinId="5"/>
    <cellStyle name="Título" xfId="3" builtinId="15"/>
  </cellStyles>
  <dxfs count="3">
    <dxf>
      <numFmt numFmtId="165" formatCode="yyyy/mm/dd\ hh:mm:ss"/>
    </dxf>
    <dxf>
      <numFmt numFmtId="13" formatCode="0%"/>
    </dxf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Data!$F$2</c:f>
              <c:strCache>
                <c:ptCount val="1"/>
                <c:pt idx="0">
                  <c:v>Latency (ms)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Data!$F$3:$F$56</c:f>
              <c:numCache>
                <c:formatCode>General</c:formatCode>
                <c:ptCount val="5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25</c:v>
                </c:pt>
                <c:pt idx="4">
                  <c:v>33</c:v>
                </c:pt>
                <c:pt idx="5">
                  <c:v>29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25</c:v>
                </c:pt>
                <c:pt idx="10">
                  <c:v>36</c:v>
                </c:pt>
                <c:pt idx="11">
                  <c:v>29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25</c:v>
                </c:pt>
                <c:pt idx="16">
                  <c:v>35</c:v>
                </c:pt>
                <c:pt idx="17">
                  <c:v>28</c:v>
                </c:pt>
                <c:pt idx="18">
                  <c:v>0</c:v>
                </c:pt>
                <c:pt idx="19">
                  <c:v>4</c:v>
                </c:pt>
                <c:pt idx="20">
                  <c:v>2</c:v>
                </c:pt>
                <c:pt idx="21">
                  <c:v>25</c:v>
                </c:pt>
                <c:pt idx="22">
                  <c:v>35</c:v>
                </c:pt>
                <c:pt idx="23">
                  <c:v>29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25</c:v>
                </c:pt>
                <c:pt idx="28">
                  <c:v>35</c:v>
                </c:pt>
                <c:pt idx="29">
                  <c:v>29</c:v>
                </c:pt>
                <c:pt idx="30">
                  <c:v>0</c:v>
                </c:pt>
                <c:pt idx="31">
                  <c:v>3</c:v>
                </c:pt>
                <c:pt idx="32">
                  <c:v>1</c:v>
                </c:pt>
                <c:pt idx="33">
                  <c:v>25</c:v>
                </c:pt>
                <c:pt idx="34">
                  <c:v>35</c:v>
                </c:pt>
                <c:pt idx="35">
                  <c:v>29</c:v>
                </c:pt>
                <c:pt idx="36">
                  <c:v>0</c:v>
                </c:pt>
                <c:pt idx="37">
                  <c:v>3</c:v>
                </c:pt>
                <c:pt idx="38">
                  <c:v>2</c:v>
                </c:pt>
                <c:pt idx="39">
                  <c:v>25</c:v>
                </c:pt>
                <c:pt idx="40">
                  <c:v>35</c:v>
                </c:pt>
                <c:pt idx="41">
                  <c:v>29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41</c:v>
                </c:pt>
                <c:pt idx="46">
                  <c:v>34</c:v>
                </c:pt>
                <c:pt idx="47">
                  <c:v>30</c:v>
                </c:pt>
                <c:pt idx="48">
                  <c:v>0</c:v>
                </c:pt>
                <c:pt idx="49">
                  <c:v>4</c:v>
                </c:pt>
                <c:pt idx="50">
                  <c:v>3</c:v>
                </c:pt>
                <c:pt idx="51">
                  <c:v>41</c:v>
                </c:pt>
                <c:pt idx="52">
                  <c:v>35</c:v>
                </c:pt>
                <c:pt idx="5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C-4662-8265-3BF462DE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6444480"/>
        <c:axId val="1691156144"/>
      </c:lineChart>
      <c:catAx>
        <c:axId val="1226444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1156144"/>
        <c:crosses val="autoZero"/>
        <c:auto val="1"/>
        <c:lblAlgn val="ctr"/>
        <c:lblOffset val="100"/>
        <c:noMultiLvlLbl val="0"/>
      </c:catAx>
      <c:valAx>
        <c:axId val="169115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644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66674</xdr:colOff>
      <xdr:row>1</xdr:row>
      <xdr:rowOff>47624</xdr:rowOff>
    </xdr:from>
    <xdr:to>
      <xdr:col>3</xdr:col>
      <xdr:colOff>600075</xdr:colOff>
      <xdr:row>4</xdr:row>
      <xdr:rowOff>123825</xdr:rowOff>
    </xdr:to>
    <xdr:sp macro="[0]!ClickButton" textlink="">
      <xdr:nvSpPr>
        <xdr:cNvPr id="5" name="btnStartStop">
          <a:extLst>
            <a:ext uri="{FF2B5EF4-FFF2-40B4-BE49-F238E27FC236}">
              <a16:creationId xmlns:a16="http://schemas.microsoft.com/office/drawing/2014/main" id="{BDC81FC6-11B5-4CCA-B77B-757E1B3F230C}"/>
            </a:ext>
          </a:extLst>
        </xdr:cNvPr>
        <xdr:cNvSpPr/>
      </xdr:nvSpPr>
      <xdr:spPr>
        <a:xfrm>
          <a:off x="619124" y="238124"/>
          <a:ext cx="3048001" cy="93345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6111</xdr:colOff>
      <xdr:row>3</xdr:row>
      <xdr:rowOff>6419</xdr:rowOff>
    </xdr:from>
    <xdr:to>
      <xdr:col>3</xdr:col>
      <xdr:colOff>642111</xdr:colOff>
      <xdr:row>31</xdr:row>
      <xdr:rowOff>72419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erver Name">
              <a:extLst>
                <a:ext uri="{FF2B5EF4-FFF2-40B4-BE49-F238E27FC236}">
                  <a16:creationId xmlns:a16="http://schemas.microsoft.com/office/drawing/2014/main" id="{3D154287-7F9A-4CC7-B6F3-D66929C3EF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er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8111" y="682694"/>
              <a:ext cx="2160000" cy="54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6393</xdr:colOff>
      <xdr:row>2</xdr:row>
      <xdr:rowOff>189537</xdr:rowOff>
    </xdr:from>
    <xdr:to>
      <xdr:col>27</xdr:col>
      <xdr:colOff>480393</xdr:colOff>
      <xdr:row>31</xdr:row>
      <xdr:rowOff>65037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A69DD17-3720-4C70-92FB-8C27DC0F1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hoose_Server_Name" xr10:uid="{AB5A6F72-757A-4E38-B6C0-15022FFA253B}" sourceName="Server Name">
  <extLst>
    <x:ext xmlns:x15="http://schemas.microsoft.com/office/spreadsheetml/2010/11/main" uri="{2F2917AC-EB37-4324-AD4E-5DD8C200BD13}">
      <x15:tableSlicerCache tableId="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rver Name" xr10:uid="{6DF493B6-23B3-45C2-8BCB-4FD5E339EA39}" cache="Choose_Server_Name" caption="Select ONLY ONE serve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955480-4E92-4E72-A4AF-61ABF8CEC13E}" name="Servers" displayName="Servers" ref="B6:D12" totalsRowShown="0">
  <autoFilter ref="B6:D12" xr:uid="{C4955480-4E92-4E72-A4AF-61ABF8CEC13E}"/>
  <tableColumns count="3">
    <tableColumn id="1" xr3:uid="{F9D70B38-06DF-4B35-9CFA-E42B5989D4BD}" name="Servers to check"/>
    <tableColumn id="2" xr3:uid="{9E33A267-16BF-4114-8084-ADD15D8BCDE3}" name="AVERAGE (ms)" dataDxfId="2" dataCellStyle="Millares">
      <calculatedColumnFormula>IFERROR((SUMIFS(Data[Latency (ms)],Data[Server Name],Servers[[#This Row],[Servers to check]],Data[Result Code],0))/(COUNTIFS(Data[Server Name],Servers[[#This Row],[Servers to check]],Data[Result Code],0)),NA())</calculatedColumnFormula>
    </tableColumn>
    <tableColumn id="3" xr3:uid="{4E9C1E15-B90D-4534-9BF6-41575AAF5376}" name="ERRORS" dataDxfId="1" dataCellStyle="Porcentaje">
      <calculatedColumnFormula>IFERROR(1-((COUNTIFS(Data[Server Name],Servers[[#This Row],[Servers to check]],Data[Result Code],0))/(COUNTIFS(Data[Server Name],Servers[[#This Row],[Servers to check]]))),NA())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4EF81E-E5DD-40DB-80B9-AB56E7D4A79E}" name="Data" displayName="Data" ref="B2:H56" totalsRowShown="0">
  <autoFilter ref="B2:H56" xr:uid="{854EF81E-E5DD-40DB-80B9-AB56E7D4A79E}"/>
  <tableColumns count="7">
    <tableColumn id="1" xr3:uid="{9F3C080B-CB0A-45A4-BA29-9114D005E6B1}" name="Time Stamp" dataDxfId="0"/>
    <tableColumn id="2" xr3:uid="{78EFB14C-2DBD-4FA9-A8E0-E79C1EDA18A5}" name="Server Name"/>
    <tableColumn id="3" xr3:uid="{7875DFFD-0830-4516-A811-21E26C1CA188}" name="IP Address"/>
    <tableColumn id="4" xr3:uid="{A0760DB5-B01A-4150-84E4-B572445A33C2}" name="TTL"/>
    <tableColumn id="5" xr3:uid="{6913788E-C944-4119-BF82-8E94C25F50B7}" name="Latency (ms)"/>
    <tableColumn id="6" xr3:uid="{663D91EF-9BF3-4CCF-BDBB-ACC78361B83C}" name="Result Code"/>
    <tableColumn id="7" xr3:uid="{E0220172-6282-4AE8-8D66-123386353596}" name="Result description">
      <calculatedColumnFormula>VLOOKUP(Data[[#This Row],[Result Code]],ResultDescriptions[],2,FALSE)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836D1D-AFB1-451B-94A6-FFBCA64317E0}" name="ResultDescriptions" displayName="ResultDescriptions" ref="B5:C26" totalsRowShown="0">
  <autoFilter ref="B5:C26" xr:uid="{73836D1D-AFB1-451B-94A6-FFBCA64317E0}"/>
  <tableColumns count="2">
    <tableColumn id="1" xr3:uid="{D1AA0E6E-3C62-4695-AC7A-B80F5AB376A3}" name="Code"/>
    <tableColumn id="2" xr3:uid="{289837DE-E267-4A70-BB2E-44864F302064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48A81-319E-46CF-AAF8-B561DC4FD0D7}">
  <sheetPr codeName="Hoja1"/>
  <dimension ref="B2:F12"/>
  <sheetViews>
    <sheetView showGridLines="0" showRowColHeaders="0" tabSelected="1" workbookViewId="0">
      <selection activeCell="C9" sqref="C9"/>
    </sheetView>
  </sheetViews>
  <sheetFormatPr baseColWidth="10" defaultRowHeight="15" x14ac:dyDescent="0.25"/>
  <cols>
    <col min="1" max="1" width="8.28515625" customWidth="1"/>
    <col min="2" max="2" width="21.5703125" bestFit="1" customWidth="1"/>
    <col min="3" max="3" width="16.140625" bestFit="1" customWidth="1"/>
    <col min="4" max="4" width="10.140625" bestFit="1" customWidth="1"/>
    <col min="5" max="5" width="8.28515625" customWidth="1"/>
    <col min="6" max="6" width="129.5703125" bestFit="1" customWidth="1"/>
  </cols>
  <sheetData>
    <row r="2" spans="2:6" ht="20.25" thickBot="1" x14ac:dyDescent="0.3">
      <c r="F2" s="6" t="s">
        <v>40</v>
      </c>
    </row>
    <row r="3" spans="2:6" ht="24" thickTop="1" x14ac:dyDescent="0.25">
      <c r="F3" s="5" t="s">
        <v>41</v>
      </c>
    </row>
    <row r="4" spans="2:6" ht="23.25" x14ac:dyDescent="0.25">
      <c r="F4" s="5" t="s">
        <v>39</v>
      </c>
    </row>
    <row r="5" spans="2:6" ht="23.25" x14ac:dyDescent="0.25">
      <c r="F5" s="5" t="s">
        <v>42</v>
      </c>
    </row>
    <row r="6" spans="2:6" ht="23.25" x14ac:dyDescent="0.25">
      <c r="B6" t="s">
        <v>9</v>
      </c>
      <c r="C6" t="s">
        <v>37</v>
      </c>
      <c r="D6" t="s">
        <v>38</v>
      </c>
      <c r="F6" s="5" t="s">
        <v>43</v>
      </c>
    </row>
    <row r="7" spans="2:6" x14ac:dyDescent="0.25">
      <c r="B7" t="s">
        <v>12</v>
      </c>
      <c r="C7" s="2">
        <f>IFERROR((SUMIFS(Data[Latency (ms)],Data[Server Name],Servers[[#This Row],[Servers to check]],Data[Result Code],0))/(COUNTIFS(Data[Server Name],Servers[[#This Row],[Servers to check]],Data[Result Code],0)),NA())</f>
        <v>0</v>
      </c>
      <c r="D7" s="3">
        <f>IFERROR(1-((COUNTIFS(Data[Server Name],Servers[[#This Row],[Servers to check]],Data[Result Code],0))/(COUNTIFS(Data[Server Name],Servers[[#This Row],[Servers to check]]))),NA())</f>
        <v>0</v>
      </c>
    </row>
    <row r="8" spans="2:6" x14ac:dyDescent="0.25">
      <c r="B8" t="s">
        <v>10</v>
      </c>
      <c r="C8" s="2">
        <f>IFERROR((SUMIFS(Data[Latency (ms)],Data[Server Name],Servers[[#This Row],[Servers to check]],Data[Result Code],0))/(COUNTIFS(Data[Server Name],Servers[[#This Row],[Servers to check]],Data[Result Code],0)),NA())</f>
        <v>3.2222222222222223</v>
      </c>
      <c r="D8" s="3">
        <f>IFERROR(1-((COUNTIFS(Data[Server Name],Servers[[#This Row],[Servers to check]],Data[Result Code],0))/(COUNTIFS(Data[Server Name],Servers[[#This Row],[Servers to check]]))),NA())</f>
        <v>0</v>
      </c>
    </row>
    <row r="9" spans="2:6" x14ac:dyDescent="0.25">
      <c r="B9" t="s">
        <v>11</v>
      </c>
      <c r="C9" s="2">
        <f>IFERROR((SUMIFS(Data[Latency (ms)],Data[Server Name],Servers[[#This Row],[Servers to check]],Data[Result Code],0))/(COUNTIFS(Data[Server Name],Servers[[#This Row],[Servers to check]],Data[Result Code],0)),NA())</f>
        <v>2.2222222222222223</v>
      </c>
      <c r="D9" s="3">
        <f>IFERROR(1-((COUNTIFS(Data[Server Name],Servers[[#This Row],[Servers to check]],Data[Result Code],0))/(COUNTIFS(Data[Server Name],Servers[[#This Row],[Servers to check]]))),NA())</f>
        <v>0</v>
      </c>
    </row>
    <row r="10" spans="2:6" x14ac:dyDescent="0.25">
      <c r="B10" t="s">
        <v>47</v>
      </c>
      <c r="C10" s="2">
        <f>IFERROR((SUMIFS(Data[Latency (ms)],Data[Server Name],Servers[[#This Row],[Servers to check]],Data[Result Code],0))/(COUNTIFS(Data[Server Name],Servers[[#This Row],[Servers to check]],Data[Result Code],0)),NA())</f>
        <v>28.555555555555557</v>
      </c>
      <c r="D10" s="3">
        <f>IFERROR(1-((COUNTIFS(Data[Server Name],Servers[[#This Row],[Servers to check]],Data[Result Code],0))/(COUNTIFS(Data[Server Name],Servers[[#This Row],[Servers to check]]))),NA())</f>
        <v>0</v>
      </c>
    </row>
    <row r="11" spans="2:6" x14ac:dyDescent="0.25">
      <c r="B11" t="s">
        <v>48</v>
      </c>
      <c r="C11" s="2">
        <f>IFERROR((SUMIFS(Data[Latency (ms)],Data[Server Name],Servers[[#This Row],[Servers to check]],Data[Result Code],0))/(COUNTIFS(Data[Server Name],Servers[[#This Row],[Servers to check]],Data[Result Code],0)),NA())</f>
        <v>34.777777777777779</v>
      </c>
      <c r="D11" s="3">
        <f>IFERROR(1-((COUNTIFS(Data[Server Name],Servers[[#This Row],[Servers to check]],Data[Result Code],0))/(COUNTIFS(Data[Server Name],Servers[[#This Row],[Servers to check]]))),NA())</f>
        <v>0</v>
      </c>
    </row>
    <row r="12" spans="2:6" x14ac:dyDescent="0.25">
      <c r="B12" t="s">
        <v>49</v>
      </c>
      <c r="C12" s="2">
        <f>IFERROR((SUMIFS(Data[Latency (ms)],Data[Server Name],Servers[[#This Row],[Servers to check]],Data[Result Code],0))/(COUNTIFS(Data[Server Name],Servers[[#This Row],[Servers to check]],Data[Result Code],0)),NA())</f>
        <v>29</v>
      </c>
      <c r="D12" s="3">
        <f>IFERROR(1-((COUNTIFS(Data[Server Name],Servers[[#This Row],[Servers to check]],Data[Result Code],0))/(COUNTIFS(Data[Server Name],Servers[[#This Row],[Servers to check]]))),NA())</f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9EDF0-2161-4405-9A97-E480A671C3B5}">
  <sheetPr codeName="Hoja3"/>
  <dimension ref="B2"/>
  <sheetViews>
    <sheetView showGridLines="0" showRowColHeaders="0" zoomScaleNormal="100" workbookViewId="0"/>
  </sheetViews>
  <sheetFormatPr baseColWidth="10" defaultRowHeight="15" x14ac:dyDescent="0.25"/>
  <sheetData>
    <row r="2" spans="2:2" ht="23.25" x14ac:dyDescent="0.35">
      <c r="B2" s="4" t="s">
        <v>44</v>
      </c>
    </row>
  </sheetData>
  <pageMargins left="0.7" right="0.7" top="0.75" bottom="0.75" header="0.3" footer="0.3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8F0C9-7183-4C53-9384-0A738C4371F9}">
  <sheetPr codeName="Hoja2"/>
  <dimension ref="B2:H56"/>
  <sheetViews>
    <sheetView showGridLines="0" showRowColHeaders="0" workbookViewId="0">
      <selection activeCell="C13" sqref="C13"/>
    </sheetView>
  </sheetViews>
  <sheetFormatPr baseColWidth="10" defaultRowHeight="15" x14ac:dyDescent="0.25"/>
  <cols>
    <col min="2" max="2" width="18.140625" bestFit="1" customWidth="1"/>
    <col min="3" max="3" width="16.5703125" bestFit="1" customWidth="1"/>
    <col min="4" max="4" width="13.7109375" bestFit="1" customWidth="1"/>
    <col min="5" max="5" width="6.140625" bestFit="1" customWidth="1"/>
    <col min="6" max="6" width="14.42578125" bestFit="1" customWidth="1"/>
    <col min="7" max="7" width="13.85546875" bestFit="1" customWidth="1"/>
    <col min="8" max="8" width="19.42578125" bestFit="1" customWidth="1"/>
  </cols>
  <sheetData>
    <row r="2" spans="2:8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</row>
    <row r="3" spans="2:8" x14ac:dyDescent="0.25">
      <c r="B3" s="1">
        <v>44592.763182870367</v>
      </c>
      <c r="C3" t="s">
        <v>12</v>
      </c>
      <c r="D3" t="s">
        <v>13</v>
      </c>
      <c r="F3">
        <v>0</v>
      </c>
      <c r="G3">
        <v>0</v>
      </c>
      <c r="H3" t="str">
        <f>VLOOKUP(Data[[#This Row],[Result Code]],ResultDescriptions[],2,FALSE)</f>
        <v>Success</v>
      </c>
    </row>
    <row r="4" spans="2:8" x14ac:dyDescent="0.25">
      <c r="B4" s="1">
        <v>44592.763182870367</v>
      </c>
      <c r="C4" t="s">
        <v>10</v>
      </c>
      <c r="D4" t="s">
        <v>15</v>
      </c>
      <c r="E4">
        <v>56</v>
      </c>
      <c r="F4">
        <v>3</v>
      </c>
      <c r="G4">
        <v>0</v>
      </c>
      <c r="H4" t="str">
        <f>VLOOKUP(Data[[#This Row],[Result Code]],ResultDescriptions[],2,FALSE)</f>
        <v>Success</v>
      </c>
    </row>
    <row r="5" spans="2:8" x14ac:dyDescent="0.25">
      <c r="B5" s="1">
        <v>44592.763182870367</v>
      </c>
      <c r="C5" t="s">
        <v>11</v>
      </c>
      <c r="D5" t="s">
        <v>50</v>
      </c>
      <c r="E5">
        <v>116</v>
      </c>
      <c r="F5">
        <v>3</v>
      </c>
      <c r="G5">
        <v>0</v>
      </c>
      <c r="H5" t="str">
        <f>VLOOKUP(Data[[#This Row],[Result Code]],ResultDescriptions[],2,FALSE)</f>
        <v>Success</v>
      </c>
    </row>
    <row r="6" spans="2:8" x14ac:dyDescent="0.25">
      <c r="B6" s="1">
        <v>44592.763182870367</v>
      </c>
      <c r="C6" t="s">
        <v>47</v>
      </c>
      <c r="D6" t="s">
        <v>51</v>
      </c>
      <c r="E6">
        <v>113</v>
      </c>
      <c r="F6">
        <v>25</v>
      </c>
      <c r="G6">
        <v>0</v>
      </c>
      <c r="H6" t="str">
        <f>VLOOKUP(Data[[#This Row],[Result Code]],ResultDescriptions[],2,FALSE)</f>
        <v>Success</v>
      </c>
    </row>
    <row r="7" spans="2:8" x14ac:dyDescent="0.25">
      <c r="B7" s="1">
        <v>44592.763182870367</v>
      </c>
      <c r="C7" t="s">
        <v>48</v>
      </c>
      <c r="D7" t="s">
        <v>52</v>
      </c>
      <c r="E7">
        <v>232</v>
      </c>
      <c r="F7">
        <v>33</v>
      </c>
      <c r="G7">
        <v>0</v>
      </c>
      <c r="H7" t="str">
        <f>VLOOKUP(Data[[#This Row],[Result Code]],ResultDescriptions[],2,FALSE)</f>
        <v>Success</v>
      </c>
    </row>
    <row r="8" spans="2:8" x14ac:dyDescent="0.25">
      <c r="B8" s="1">
        <v>44592.763182870367</v>
      </c>
      <c r="C8" t="s">
        <v>49</v>
      </c>
      <c r="D8" t="s">
        <v>53</v>
      </c>
      <c r="E8">
        <v>53</v>
      </c>
      <c r="F8">
        <v>29</v>
      </c>
      <c r="G8">
        <v>0</v>
      </c>
      <c r="H8" t="str">
        <f>VLOOKUP(Data[[#This Row],[Result Code]],ResultDescriptions[],2,FALSE)</f>
        <v>Success</v>
      </c>
    </row>
    <row r="9" spans="2:8" x14ac:dyDescent="0.25">
      <c r="B9" s="1">
        <v>44592.76321759259</v>
      </c>
      <c r="C9" t="s">
        <v>12</v>
      </c>
      <c r="D9" t="s">
        <v>13</v>
      </c>
      <c r="F9">
        <v>0</v>
      </c>
      <c r="G9">
        <v>0</v>
      </c>
      <c r="H9" t="str">
        <f>VLOOKUP(Data[[#This Row],[Result Code]],ResultDescriptions[],2,FALSE)</f>
        <v>Success</v>
      </c>
    </row>
    <row r="10" spans="2:8" x14ac:dyDescent="0.25">
      <c r="B10" s="1">
        <v>44592.76321759259</v>
      </c>
      <c r="C10" t="s">
        <v>10</v>
      </c>
      <c r="D10" t="s">
        <v>15</v>
      </c>
      <c r="E10">
        <v>56</v>
      </c>
      <c r="F10">
        <v>3</v>
      </c>
      <c r="G10">
        <v>0</v>
      </c>
      <c r="H10" t="str">
        <f>VLOOKUP(Data[[#This Row],[Result Code]],ResultDescriptions[],2,FALSE)</f>
        <v>Success</v>
      </c>
    </row>
    <row r="11" spans="2:8" x14ac:dyDescent="0.25">
      <c r="B11" s="1">
        <v>44592.76321759259</v>
      </c>
      <c r="C11" t="s">
        <v>11</v>
      </c>
      <c r="D11" t="s">
        <v>50</v>
      </c>
      <c r="E11">
        <v>116</v>
      </c>
      <c r="F11">
        <v>3</v>
      </c>
      <c r="G11">
        <v>0</v>
      </c>
      <c r="H11" t="str">
        <f>VLOOKUP(Data[[#This Row],[Result Code]],ResultDescriptions[],2,FALSE)</f>
        <v>Success</v>
      </c>
    </row>
    <row r="12" spans="2:8" x14ac:dyDescent="0.25">
      <c r="B12" s="1">
        <v>44592.76321759259</v>
      </c>
      <c r="C12" t="s">
        <v>47</v>
      </c>
      <c r="D12" t="s">
        <v>51</v>
      </c>
      <c r="E12">
        <v>113</v>
      </c>
      <c r="F12">
        <v>25</v>
      </c>
      <c r="G12">
        <v>0</v>
      </c>
      <c r="H12" t="str">
        <f>VLOOKUP(Data[[#This Row],[Result Code]],ResultDescriptions[],2,FALSE)</f>
        <v>Success</v>
      </c>
    </row>
    <row r="13" spans="2:8" x14ac:dyDescent="0.25">
      <c r="B13" s="1">
        <v>44592.76321759259</v>
      </c>
      <c r="C13" t="s">
        <v>48</v>
      </c>
      <c r="D13" t="s">
        <v>54</v>
      </c>
      <c r="E13">
        <v>234</v>
      </c>
      <c r="F13">
        <v>36</v>
      </c>
      <c r="G13">
        <v>0</v>
      </c>
      <c r="H13" t="str">
        <f>VLOOKUP(Data[[#This Row],[Result Code]],ResultDescriptions[],2,FALSE)</f>
        <v>Success</v>
      </c>
    </row>
    <row r="14" spans="2:8" x14ac:dyDescent="0.25">
      <c r="B14" s="1">
        <v>44592.76321759259</v>
      </c>
      <c r="C14" t="s">
        <v>49</v>
      </c>
      <c r="D14" t="s">
        <v>53</v>
      </c>
      <c r="E14">
        <v>53</v>
      </c>
      <c r="F14">
        <v>29</v>
      </c>
      <c r="G14">
        <v>0</v>
      </c>
      <c r="H14" t="str">
        <f>VLOOKUP(Data[[#This Row],[Result Code]],ResultDescriptions[],2,FALSE)</f>
        <v>Success</v>
      </c>
    </row>
    <row r="15" spans="2:8" x14ac:dyDescent="0.25">
      <c r="B15" s="1">
        <v>44592.763252314813</v>
      </c>
      <c r="C15" t="s">
        <v>12</v>
      </c>
      <c r="D15" t="s">
        <v>13</v>
      </c>
      <c r="F15">
        <v>0</v>
      </c>
      <c r="G15">
        <v>0</v>
      </c>
      <c r="H15" t="str">
        <f>VLOOKUP(Data[[#This Row],[Result Code]],ResultDescriptions[],2,FALSE)</f>
        <v>Success</v>
      </c>
    </row>
    <row r="16" spans="2:8" x14ac:dyDescent="0.25">
      <c r="B16" s="1">
        <v>44592.763252314813</v>
      </c>
      <c r="C16" t="s">
        <v>10</v>
      </c>
      <c r="D16" t="s">
        <v>15</v>
      </c>
      <c r="E16">
        <v>56</v>
      </c>
      <c r="F16">
        <v>3</v>
      </c>
      <c r="G16">
        <v>0</v>
      </c>
      <c r="H16" t="str">
        <f>VLOOKUP(Data[[#This Row],[Result Code]],ResultDescriptions[],2,FALSE)</f>
        <v>Success</v>
      </c>
    </row>
    <row r="17" spans="2:8" x14ac:dyDescent="0.25">
      <c r="B17" s="1">
        <v>44592.763252314813</v>
      </c>
      <c r="C17" t="s">
        <v>11</v>
      </c>
      <c r="D17" t="s">
        <v>50</v>
      </c>
      <c r="E17">
        <v>116</v>
      </c>
      <c r="F17">
        <v>2</v>
      </c>
      <c r="G17">
        <v>0</v>
      </c>
      <c r="H17" t="str">
        <f>VLOOKUP(Data[[#This Row],[Result Code]],ResultDescriptions[],2,FALSE)</f>
        <v>Success</v>
      </c>
    </row>
    <row r="18" spans="2:8" x14ac:dyDescent="0.25">
      <c r="B18" s="1">
        <v>44592.763252314813</v>
      </c>
      <c r="C18" t="s">
        <v>47</v>
      </c>
      <c r="D18" t="s">
        <v>51</v>
      </c>
      <c r="E18">
        <v>113</v>
      </c>
      <c r="F18">
        <v>25</v>
      </c>
      <c r="G18">
        <v>0</v>
      </c>
      <c r="H18" t="str">
        <f>VLOOKUP(Data[[#This Row],[Result Code]],ResultDescriptions[],2,FALSE)</f>
        <v>Success</v>
      </c>
    </row>
    <row r="19" spans="2:8" x14ac:dyDescent="0.25">
      <c r="B19" s="1">
        <v>44592.763252314813</v>
      </c>
      <c r="C19" t="s">
        <v>48</v>
      </c>
      <c r="D19" t="s">
        <v>54</v>
      </c>
      <c r="E19">
        <v>234</v>
      </c>
      <c r="F19">
        <v>35</v>
      </c>
      <c r="G19">
        <v>0</v>
      </c>
      <c r="H19" t="str">
        <f>VLOOKUP(Data[[#This Row],[Result Code]],ResultDescriptions[],2,FALSE)</f>
        <v>Success</v>
      </c>
    </row>
    <row r="20" spans="2:8" x14ac:dyDescent="0.25">
      <c r="B20" s="1">
        <v>44592.763252314813</v>
      </c>
      <c r="C20" t="s">
        <v>49</v>
      </c>
      <c r="D20" t="s">
        <v>53</v>
      </c>
      <c r="E20">
        <v>53</v>
      </c>
      <c r="F20">
        <v>28</v>
      </c>
      <c r="G20">
        <v>0</v>
      </c>
      <c r="H20" t="str">
        <f>VLOOKUP(Data[[#This Row],[Result Code]],ResultDescriptions[],2,FALSE)</f>
        <v>Success</v>
      </c>
    </row>
    <row r="21" spans="2:8" x14ac:dyDescent="0.25">
      <c r="B21" s="1">
        <v>44592.763287037036</v>
      </c>
      <c r="C21" t="s">
        <v>12</v>
      </c>
      <c r="D21" t="s">
        <v>13</v>
      </c>
      <c r="F21">
        <v>0</v>
      </c>
      <c r="G21">
        <v>0</v>
      </c>
      <c r="H21" t="str">
        <f>VLOOKUP(Data[[#This Row],[Result Code]],ResultDescriptions[],2,FALSE)</f>
        <v>Success</v>
      </c>
    </row>
    <row r="22" spans="2:8" x14ac:dyDescent="0.25">
      <c r="B22" s="1">
        <v>44592.763287037036</v>
      </c>
      <c r="C22" t="s">
        <v>10</v>
      </c>
      <c r="D22" t="s">
        <v>15</v>
      </c>
      <c r="E22">
        <v>56</v>
      </c>
      <c r="F22">
        <v>4</v>
      </c>
      <c r="G22">
        <v>0</v>
      </c>
      <c r="H22" t="str">
        <f>VLOOKUP(Data[[#This Row],[Result Code]],ResultDescriptions[],2,FALSE)</f>
        <v>Success</v>
      </c>
    </row>
    <row r="23" spans="2:8" x14ac:dyDescent="0.25">
      <c r="B23" s="1">
        <v>44592.763287037036</v>
      </c>
      <c r="C23" t="s">
        <v>11</v>
      </c>
      <c r="D23" t="s">
        <v>50</v>
      </c>
      <c r="E23">
        <v>116</v>
      </c>
      <c r="F23">
        <v>2</v>
      </c>
      <c r="G23">
        <v>0</v>
      </c>
      <c r="H23" t="str">
        <f>VLOOKUP(Data[[#This Row],[Result Code]],ResultDescriptions[],2,FALSE)</f>
        <v>Success</v>
      </c>
    </row>
    <row r="24" spans="2:8" x14ac:dyDescent="0.25">
      <c r="B24" s="1">
        <v>44592.763287037036</v>
      </c>
      <c r="C24" t="s">
        <v>47</v>
      </c>
      <c r="D24" t="s">
        <v>51</v>
      </c>
      <c r="E24">
        <v>113</v>
      </c>
      <c r="F24">
        <v>25</v>
      </c>
      <c r="G24">
        <v>0</v>
      </c>
      <c r="H24" t="str">
        <f>VLOOKUP(Data[[#This Row],[Result Code]],ResultDescriptions[],2,FALSE)</f>
        <v>Success</v>
      </c>
    </row>
    <row r="25" spans="2:8" x14ac:dyDescent="0.25">
      <c r="B25" s="1">
        <v>44592.763287037036</v>
      </c>
      <c r="C25" t="s">
        <v>48</v>
      </c>
      <c r="D25" t="s">
        <v>54</v>
      </c>
      <c r="E25">
        <v>234</v>
      </c>
      <c r="F25">
        <v>35</v>
      </c>
      <c r="G25">
        <v>0</v>
      </c>
      <c r="H25" t="str">
        <f>VLOOKUP(Data[[#This Row],[Result Code]],ResultDescriptions[],2,FALSE)</f>
        <v>Success</v>
      </c>
    </row>
    <row r="26" spans="2:8" x14ac:dyDescent="0.25">
      <c r="B26" s="1">
        <v>44592.763287037036</v>
      </c>
      <c r="C26" t="s">
        <v>49</v>
      </c>
      <c r="D26" t="s">
        <v>53</v>
      </c>
      <c r="E26">
        <v>53</v>
      </c>
      <c r="F26">
        <v>29</v>
      </c>
      <c r="G26">
        <v>0</v>
      </c>
      <c r="H26" t="str">
        <f>VLOOKUP(Data[[#This Row],[Result Code]],ResultDescriptions[],2,FALSE)</f>
        <v>Success</v>
      </c>
    </row>
    <row r="27" spans="2:8" x14ac:dyDescent="0.25">
      <c r="B27" s="1">
        <v>44592.763321759259</v>
      </c>
      <c r="C27" t="s">
        <v>12</v>
      </c>
      <c r="D27" t="s">
        <v>13</v>
      </c>
      <c r="F27">
        <v>0</v>
      </c>
      <c r="G27">
        <v>0</v>
      </c>
      <c r="H27" t="str">
        <f>VLOOKUP(Data[[#This Row],[Result Code]],ResultDescriptions[],2,FALSE)</f>
        <v>Success</v>
      </c>
    </row>
    <row r="28" spans="2:8" x14ac:dyDescent="0.25">
      <c r="B28" s="1">
        <v>44592.763321759259</v>
      </c>
      <c r="C28" t="s">
        <v>10</v>
      </c>
      <c r="D28" t="s">
        <v>15</v>
      </c>
      <c r="E28">
        <v>56</v>
      </c>
      <c r="F28">
        <v>3</v>
      </c>
      <c r="G28">
        <v>0</v>
      </c>
      <c r="H28" t="str">
        <f>VLOOKUP(Data[[#This Row],[Result Code]],ResultDescriptions[],2,FALSE)</f>
        <v>Success</v>
      </c>
    </row>
    <row r="29" spans="2:8" x14ac:dyDescent="0.25">
      <c r="B29" s="1">
        <v>44592.763321759259</v>
      </c>
      <c r="C29" t="s">
        <v>11</v>
      </c>
      <c r="D29" t="s">
        <v>50</v>
      </c>
      <c r="E29">
        <v>116</v>
      </c>
      <c r="F29">
        <v>2</v>
      </c>
      <c r="G29">
        <v>0</v>
      </c>
      <c r="H29" t="str">
        <f>VLOOKUP(Data[[#This Row],[Result Code]],ResultDescriptions[],2,FALSE)</f>
        <v>Success</v>
      </c>
    </row>
    <row r="30" spans="2:8" x14ac:dyDescent="0.25">
      <c r="B30" s="1">
        <v>44592.763321759259</v>
      </c>
      <c r="C30" t="s">
        <v>47</v>
      </c>
      <c r="D30" t="s">
        <v>51</v>
      </c>
      <c r="E30">
        <v>113</v>
      </c>
      <c r="F30">
        <v>25</v>
      </c>
      <c r="G30">
        <v>0</v>
      </c>
      <c r="H30" t="str">
        <f>VLOOKUP(Data[[#This Row],[Result Code]],ResultDescriptions[],2,FALSE)</f>
        <v>Success</v>
      </c>
    </row>
    <row r="31" spans="2:8" x14ac:dyDescent="0.25">
      <c r="B31" s="1">
        <v>44592.763321759259</v>
      </c>
      <c r="C31" t="s">
        <v>48</v>
      </c>
      <c r="D31" t="s">
        <v>54</v>
      </c>
      <c r="E31">
        <v>234</v>
      </c>
      <c r="F31">
        <v>35</v>
      </c>
      <c r="G31">
        <v>0</v>
      </c>
      <c r="H31" t="str">
        <f>VLOOKUP(Data[[#This Row],[Result Code]],ResultDescriptions[],2,FALSE)</f>
        <v>Success</v>
      </c>
    </row>
    <row r="32" spans="2:8" x14ac:dyDescent="0.25">
      <c r="B32" s="1">
        <v>44592.763321759259</v>
      </c>
      <c r="C32" t="s">
        <v>49</v>
      </c>
      <c r="D32" t="s">
        <v>53</v>
      </c>
      <c r="E32">
        <v>53</v>
      </c>
      <c r="F32">
        <v>29</v>
      </c>
      <c r="G32">
        <v>0</v>
      </c>
      <c r="H32" t="str">
        <f>VLOOKUP(Data[[#This Row],[Result Code]],ResultDescriptions[],2,FALSE)</f>
        <v>Success</v>
      </c>
    </row>
    <row r="33" spans="2:8" x14ac:dyDescent="0.25">
      <c r="B33" s="1">
        <v>44592.763356481482</v>
      </c>
      <c r="C33" t="s">
        <v>12</v>
      </c>
      <c r="D33" t="s">
        <v>13</v>
      </c>
      <c r="F33">
        <v>0</v>
      </c>
      <c r="G33">
        <v>0</v>
      </c>
      <c r="H33" t="str">
        <f>VLOOKUP(Data[[#This Row],[Result Code]],ResultDescriptions[],2,FALSE)</f>
        <v>Success</v>
      </c>
    </row>
    <row r="34" spans="2:8" x14ac:dyDescent="0.25">
      <c r="B34" s="1">
        <v>44592.763356481482</v>
      </c>
      <c r="C34" t="s">
        <v>10</v>
      </c>
      <c r="D34" t="s">
        <v>15</v>
      </c>
      <c r="E34">
        <v>56</v>
      </c>
      <c r="F34">
        <v>3</v>
      </c>
      <c r="G34">
        <v>0</v>
      </c>
      <c r="H34" t="str">
        <f>VLOOKUP(Data[[#This Row],[Result Code]],ResultDescriptions[],2,FALSE)</f>
        <v>Success</v>
      </c>
    </row>
    <row r="35" spans="2:8" x14ac:dyDescent="0.25">
      <c r="B35" s="1">
        <v>44592.763356481482</v>
      </c>
      <c r="C35" t="s">
        <v>11</v>
      </c>
      <c r="D35" t="s">
        <v>50</v>
      </c>
      <c r="E35">
        <v>116</v>
      </c>
      <c r="F35">
        <v>1</v>
      </c>
      <c r="G35">
        <v>0</v>
      </c>
      <c r="H35" t="str">
        <f>VLOOKUP(Data[[#This Row],[Result Code]],ResultDescriptions[],2,FALSE)</f>
        <v>Success</v>
      </c>
    </row>
    <row r="36" spans="2:8" x14ac:dyDescent="0.25">
      <c r="B36" s="1">
        <v>44592.763356481482</v>
      </c>
      <c r="C36" t="s">
        <v>47</v>
      </c>
      <c r="D36" t="s">
        <v>51</v>
      </c>
      <c r="E36">
        <v>113</v>
      </c>
      <c r="F36">
        <v>25</v>
      </c>
      <c r="G36">
        <v>0</v>
      </c>
      <c r="H36" t="str">
        <f>VLOOKUP(Data[[#This Row],[Result Code]],ResultDescriptions[],2,FALSE)</f>
        <v>Success</v>
      </c>
    </row>
    <row r="37" spans="2:8" x14ac:dyDescent="0.25">
      <c r="B37" s="1">
        <v>44592.763356481482</v>
      </c>
      <c r="C37" t="s">
        <v>48</v>
      </c>
      <c r="D37" t="s">
        <v>54</v>
      </c>
      <c r="E37">
        <v>234</v>
      </c>
      <c r="F37">
        <v>35</v>
      </c>
      <c r="G37">
        <v>0</v>
      </c>
      <c r="H37" t="str">
        <f>VLOOKUP(Data[[#This Row],[Result Code]],ResultDescriptions[],2,FALSE)</f>
        <v>Success</v>
      </c>
    </row>
    <row r="38" spans="2:8" x14ac:dyDescent="0.25">
      <c r="B38" s="1">
        <v>44592.763356481482</v>
      </c>
      <c r="C38" t="s">
        <v>49</v>
      </c>
      <c r="D38" t="s">
        <v>53</v>
      </c>
      <c r="E38">
        <v>53</v>
      </c>
      <c r="F38">
        <v>29</v>
      </c>
      <c r="G38">
        <v>0</v>
      </c>
      <c r="H38" t="str">
        <f>VLOOKUP(Data[[#This Row],[Result Code]],ResultDescriptions[],2,FALSE)</f>
        <v>Success</v>
      </c>
    </row>
    <row r="39" spans="2:8" x14ac:dyDescent="0.25">
      <c r="B39" s="1">
        <v>44592.763391203705</v>
      </c>
      <c r="C39" t="s">
        <v>12</v>
      </c>
      <c r="D39" t="s">
        <v>13</v>
      </c>
      <c r="F39">
        <v>0</v>
      </c>
      <c r="G39">
        <v>0</v>
      </c>
      <c r="H39" t="str">
        <f>VLOOKUP(Data[[#This Row],[Result Code]],ResultDescriptions[],2,FALSE)</f>
        <v>Success</v>
      </c>
    </row>
    <row r="40" spans="2:8" x14ac:dyDescent="0.25">
      <c r="B40" s="1">
        <v>44592.763391203705</v>
      </c>
      <c r="C40" t="s">
        <v>10</v>
      </c>
      <c r="D40" t="s">
        <v>15</v>
      </c>
      <c r="E40">
        <v>56</v>
      </c>
      <c r="F40">
        <v>3</v>
      </c>
      <c r="G40">
        <v>0</v>
      </c>
      <c r="H40" t="str">
        <f>VLOOKUP(Data[[#This Row],[Result Code]],ResultDescriptions[],2,FALSE)</f>
        <v>Success</v>
      </c>
    </row>
    <row r="41" spans="2:8" x14ac:dyDescent="0.25">
      <c r="B41" s="1">
        <v>44592.763391203705</v>
      </c>
      <c r="C41" t="s">
        <v>11</v>
      </c>
      <c r="D41" t="s">
        <v>14</v>
      </c>
      <c r="E41">
        <v>116</v>
      </c>
      <c r="F41">
        <v>2</v>
      </c>
      <c r="G41">
        <v>0</v>
      </c>
      <c r="H41" t="str">
        <f>VLOOKUP(Data[[#This Row],[Result Code]],ResultDescriptions[],2,FALSE)</f>
        <v>Success</v>
      </c>
    </row>
    <row r="42" spans="2:8" x14ac:dyDescent="0.25">
      <c r="B42" s="1">
        <v>44592.763391203705</v>
      </c>
      <c r="C42" t="s">
        <v>47</v>
      </c>
      <c r="D42" t="s">
        <v>51</v>
      </c>
      <c r="E42">
        <v>113</v>
      </c>
      <c r="F42">
        <v>25</v>
      </c>
      <c r="G42">
        <v>0</v>
      </c>
      <c r="H42" t="str">
        <f>VLOOKUP(Data[[#This Row],[Result Code]],ResultDescriptions[],2,FALSE)</f>
        <v>Success</v>
      </c>
    </row>
    <row r="43" spans="2:8" x14ac:dyDescent="0.25">
      <c r="B43" s="1">
        <v>44592.763391203705</v>
      </c>
      <c r="C43" t="s">
        <v>48</v>
      </c>
      <c r="D43" t="s">
        <v>54</v>
      </c>
      <c r="E43">
        <v>234</v>
      </c>
      <c r="F43">
        <v>35</v>
      </c>
      <c r="G43">
        <v>0</v>
      </c>
      <c r="H43" t="str">
        <f>VLOOKUP(Data[[#This Row],[Result Code]],ResultDescriptions[],2,FALSE)</f>
        <v>Success</v>
      </c>
    </row>
    <row r="44" spans="2:8" x14ac:dyDescent="0.25">
      <c r="B44" s="1">
        <v>44592.763391203705</v>
      </c>
      <c r="C44" t="s">
        <v>49</v>
      </c>
      <c r="D44" t="s">
        <v>53</v>
      </c>
      <c r="E44">
        <v>53</v>
      </c>
      <c r="F44">
        <v>29</v>
      </c>
      <c r="G44">
        <v>0</v>
      </c>
      <c r="H44" t="str">
        <f>VLOOKUP(Data[[#This Row],[Result Code]],ResultDescriptions[],2,FALSE)</f>
        <v>Success</v>
      </c>
    </row>
    <row r="45" spans="2:8" x14ac:dyDescent="0.25">
      <c r="B45" s="1">
        <v>44592.763425925928</v>
      </c>
      <c r="C45" t="s">
        <v>12</v>
      </c>
      <c r="D45" t="s">
        <v>13</v>
      </c>
      <c r="F45">
        <v>0</v>
      </c>
      <c r="G45">
        <v>0</v>
      </c>
      <c r="H45" t="str">
        <f>VLOOKUP(Data[[#This Row],[Result Code]],ResultDescriptions[],2,FALSE)</f>
        <v>Success</v>
      </c>
    </row>
    <row r="46" spans="2:8" x14ac:dyDescent="0.25">
      <c r="B46" s="1">
        <v>44592.763425925928</v>
      </c>
      <c r="C46" t="s">
        <v>10</v>
      </c>
      <c r="D46" t="s">
        <v>15</v>
      </c>
      <c r="E46">
        <v>56</v>
      </c>
      <c r="F46">
        <v>3</v>
      </c>
      <c r="G46">
        <v>0</v>
      </c>
      <c r="H46" t="str">
        <f>VLOOKUP(Data[[#This Row],[Result Code]],ResultDescriptions[],2,FALSE)</f>
        <v>Success</v>
      </c>
    </row>
    <row r="47" spans="2:8" x14ac:dyDescent="0.25">
      <c r="B47" s="1">
        <v>44592.763425925928</v>
      </c>
      <c r="C47" t="s">
        <v>11</v>
      </c>
      <c r="D47" t="s">
        <v>14</v>
      </c>
      <c r="E47">
        <v>116</v>
      </c>
      <c r="F47">
        <v>2</v>
      </c>
      <c r="G47">
        <v>0</v>
      </c>
      <c r="H47" t="str">
        <f>VLOOKUP(Data[[#This Row],[Result Code]],ResultDescriptions[],2,FALSE)</f>
        <v>Success</v>
      </c>
    </row>
    <row r="48" spans="2:8" x14ac:dyDescent="0.25">
      <c r="B48" s="1">
        <v>44592.763425925928</v>
      </c>
      <c r="C48" t="s">
        <v>47</v>
      </c>
      <c r="D48" t="s">
        <v>55</v>
      </c>
      <c r="E48">
        <v>111</v>
      </c>
      <c r="F48">
        <v>41</v>
      </c>
      <c r="G48">
        <v>0</v>
      </c>
      <c r="H48" t="str">
        <f>VLOOKUP(Data[[#This Row],[Result Code]],ResultDescriptions[],2,FALSE)</f>
        <v>Success</v>
      </c>
    </row>
    <row r="49" spans="2:8" x14ac:dyDescent="0.25">
      <c r="B49" s="1">
        <v>44592.763425925928</v>
      </c>
      <c r="C49" t="s">
        <v>48</v>
      </c>
      <c r="D49" t="s">
        <v>56</v>
      </c>
      <c r="E49">
        <v>234</v>
      </c>
      <c r="F49">
        <v>34</v>
      </c>
      <c r="G49">
        <v>0</v>
      </c>
      <c r="H49" t="str">
        <f>VLOOKUP(Data[[#This Row],[Result Code]],ResultDescriptions[],2,FALSE)</f>
        <v>Success</v>
      </c>
    </row>
    <row r="50" spans="2:8" x14ac:dyDescent="0.25">
      <c r="B50" s="1">
        <v>44592.763425925928</v>
      </c>
      <c r="C50" t="s">
        <v>49</v>
      </c>
      <c r="D50" t="s">
        <v>53</v>
      </c>
      <c r="E50">
        <v>53</v>
      </c>
      <c r="F50">
        <v>30</v>
      </c>
      <c r="G50">
        <v>0</v>
      </c>
      <c r="H50" t="str">
        <f>VLOOKUP(Data[[#This Row],[Result Code]],ResultDescriptions[],2,FALSE)</f>
        <v>Success</v>
      </c>
    </row>
    <row r="51" spans="2:8" x14ac:dyDescent="0.25">
      <c r="B51" s="1">
        <v>44592.763460648152</v>
      </c>
      <c r="C51" t="s">
        <v>12</v>
      </c>
      <c r="D51" t="s">
        <v>13</v>
      </c>
      <c r="F51">
        <v>0</v>
      </c>
      <c r="G51">
        <v>0</v>
      </c>
      <c r="H51" t="str">
        <f>VLOOKUP(Data[[#This Row],[Result Code]],ResultDescriptions[],2,FALSE)</f>
        <v>Success</v>
      </c>
    </row>
    <row r="52" spans="2:8" x14ac:dyDescent="0.25">
      <c r="B52" s="1">
        <v>44592.763460648152</v>
      </c>
      <c r="C52" t="s">
        <v>10</v>
      </c>
      <c r="D52" t="s">
        <v>15</v>
      </c>
      <c r="E52">
        <v>56</v>
      </c>
      <c r="F52">
        <v>4</v>
      </c>
      <c r="G52">
        <v>0</v>
      </c>
      <c r="H52" t="str">
        <f>VLOOKUP(Data[[#This Row],[Result Code]],ResultDescriptions[],2,FALSE)</f>
        <v>Success</v>
      </c>
    </row>
    <row r="53" spans="2:8" x14ac:dyDescent="0.25">
      <c r="B53" s="1">
        <v>44592.763599537036</v>
      </c>
      <c r="C53" t="s">
        <v>11</v>
      </c>
      <c r="D53" t="s">
        <v>14</v>
      </c>
      <c r="E53">
        <v>116</v>
      </c>
      <c r="F53">
        <v>3</v>
      </c>
      <c r="G53">
        <v>0</v>
      </c>
      <c r="H53" t="str">
        <f>VLOOKUP(Data[[#This Row],[Result Code]],ResultDescriptions[],2,FALSE)</f>
        <v>Success</v>
      </c>
    </row>
    <row r="54" spans="2:8" x14ac:dyDescent="0.25">
      <c r="B54" s="1">
        <v>44592.763599537036</v>
      </c>
      <c r="C54" t="s">
        <v>47</v>
      </c>
      <c r="D54" t="s">
        <v>55</v>
      </c>
      <c r="E54">
        <v>111</v>
      </c>
      <c r="F54">
        <v>41</v>
      </c>
      <c r="G54">
        <v>0</v>
      </c>
      <c r="H54" t="str">
        <f>VLOOKUP(Data[[#This Row],[Result Code]],ResultDescriptions[],2,FALSE)</f>
        <v>Success</v>
      </c>
    </row>
    <row r="55" spans="2:8" x14ac:dyDescent="0.25">
      <c r="B55" s="1">
        <v>44592.763599537036</v>
      </c>
      <c r="C55" t="s">
        <v>48</v>
      </c>
      <c r="D55" t="s">
        <v>54</v>
      </c>
      <c r="E55">
        <v>234</v>
      </c>
      <c r="F55">
        <v>35</v>
      </c>
      <c r="G55">
        <v>0</v>
      </c>
      <c r="H55" t="str">
        <f>VLOOKUP(Data[[#This Row],[Result Code]],ResultDescriptions[],2,FALSE)</f>
        <v>Success</v>
      </c>
    </row>
    <row r="56" spans="2:8" x14ac:dyDescent="0.25">
      <c r="B56" s="1">
        <v>44592.763599537036</v>
      </c>
      <c r="C56" t="s">
        <v>49</v>
      </c>
      <c r="D56" t="s">
        <v>53</v>
      </c>
      <c r="E56">
        <v>53</v>
      </c>
      <c r="F56">
        <v>29</v>
      </c>
      <c r="G56">
        <v>0</v>
      </c>
      <c r="H56" t="str">
        <f>VLOOKUP(Data[[#This Row],[Result Code]],ResultDescriptions[],2,FALSE)</f>
        <v>Success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0D30-45E4-4601-9477-AD0E6CFCFD1C}">
  <sheetPr codeName="Hoja4"/>
  <dimension ref="B2:D26"/>
  <sheetViews>
    <sheetView showGridLines="0" showRowColHeaders="0" workbookViewId="0"/>
  </sheetViews>
  <sheetFormatPr baseColWidth="10" defaultRowHeight="15" x14ac:dyDescent="0.25"/>
  <cols>
    <col min="2" max="2" width="7.85546875" bestFit="1" customWidth="1"/>
    <col min="3" max="3" width="31.140625" bestFit="1" customWidth="1"/>
    <col min="4" max="4" width="3" bestFit="1" customWidth="1"/>
  </cols>
  <sheetData>
    <row r="2" spans="2:4" ht="23.25" x14ac:dyDescent="0.25">
      <c r="B2" s="7" t="s">
        <v>45</v>
      </c>
      <c r="C2" s="7"/>
      <c r="D2" s="5">
        <v>3</v>
      </c>
    </row>
    <row r="4" spans="2:4" ht="23.25" x14ac:dyDescent="0.25">
      <c r="B4" s="7" t="s">
        <v>46</v>
      </c>
      <c r="C4" s="7"/>
    </row>
    <row r="5" spans="2:4" x14ac:dyDescent="0.25">
      <c r="B5" t="s">
        <v>7</v>
      </c>
      <c r="C5" t="s">
        <v>8</v>
      </c>
    </row>
    <row r="6" spans="2:4" x14ac:dyDescent="0.25">
      <c r="B6">
        <v>0</v>
      </c>
      <c r="C6" t="s">
        <v>16</v>
      </c>
    </row>
    <row r="7" spans="2:4" x14ac:dyDescent="0.25">
      <c r="B7">
        <v>11001</v>
      </c>
      <c r="C7" t="s">
        <v>17</v>
      </c>
    </row>
    <row r="8" spans="2:4" x14ac:dyDescent="0.25">
      <c r="B8">
        <v>11002</v>
      </c>
      <c r="C8" t="s">
        <v>18</v>
      </c>
    </row>
    <row r="9" spans="2:4" x14ac:dyDescent="0.25">
      <c r="B9">
        <v>11003</v>
      </c>
      <c r="C9" t="s">
        <v>19</v>
      </c>
    </row>
    <row r="10" spans="2:4" x14ac:dyDescent="0.25">
      <c r="B10">
        <v>11004</v>
      </c>
      <c r="C10" t="s">
        <v>20</v>
      </c>
    </row>
    <row r="11" spans="2:4" x14ac:dyDescent="0.25">
      <c r="B11">
        <v>11005</v>
      </c>
      <c r="C11" t="s">
        <v>21</v>
      </c>
    </row>
    <row r="12" spans="2:4" x14ac:dyDescent="0.25">
      <c r="B12">
        <v>11006</v>
      </c>
      <c r="C12" t="s">
        <v>22</v>
      </c>
    </row>
    <row r="13" spans="2:4" x14ac:dyDescent="0.25">
      <c r="B13">
        <v>11007</v>
      </c>
      <c r="C13" t="s">
        <v>23</v>
      </c>
    </row>
    <row r="14" spans="2:4" x14ac:dyDescent="0.25">
      <c r="B14">
        <v>11008</v>
      </c>
      <c r="C14" t="s">
        <v>24</v>
      </c>
    </row>
    <row r="15" spans="2:4" x14ac:dyDescent="0.25">
      <c r="B15">
        <v>11009</v>
      </c>
      <c r="C15" t="s">
        <v>25</v>
      </c>
    </row>
    <row r="16" spans="2:4" x14ac:dyDescent="0.25">
      <c r="B16">
        <v>11010</v>
      </c>
      <c r="C16" t="s">
        <v>26</v>
      </c>
    </row>
    <row r="17" spans="2:3" x14ac:dyDescent="0.25">
      <c r="B17">
        <v>11011</v>
      </c>
      <c r="C17" t="s">
        <v>27</v>
      </c>
    </row>
    <row r="18" spans="2:3" x14ac:dyDescent="0.25">
      <c r="B18">
        <v>11012</v>
      </c>
      <c r="C18" t="s">
        <v>28</v>
      </c>
    </row>
    <row r="19" spans="2:3" x14ac:dyDescent="0.25">
      <c r="B19">
        <v>11013</v>
      </c>
      <c r="C19" t="s">
        <v>29</v>
      </c>
    </row>
    <row r="20" spans="2:3" x14ac:dyDescent="0.25">
      <c r="B20">
        <v>11014</v>
      </c>
      <c r="C20" t="s">
        <v>30</v>
      </c>
    </row>
    <row r="21" spans="2:3" x14ac:dyDescent="0.25">
      <c r="B21">
        <v>11015</v>
      </c>
      <c r="C21" t="s">
        <v>31</v>
      </c>
    </row>
    <row r="22" spans="2:3" x14ac:dyDescent="0.25">
      <c r="B22">
        <v>11016</v>
      </c>
      <c r="C22" t="s">
        <v>32</v>
      </c>
    </row>
    <row r="23" spans="2:3" x14ac:dyDescent="0.25">
      <c r="B23">
        <v>11017</v>
      </c>
      <c r="C23" t="s">
        <v>33</v>
      </c>
    </row>
    <row r="24" spans="2:3" x14ac:dyDescent="0.25">
      <c r="B24">
        <v>11018</v>
      </c>
      <c r="C24" t="s">
        <v>34</v>
      </c>
    </row>
    <row r="25" spans="2:3" x14ac:dyDescent="0.25">
      <c r="B25">
        <v>11032</v>
      </c>
      <c r="C25" t="s">
        <v>35</v>
      </c>
    </row>
    <row r="26" spans="2:3" x14ac:dyDescent="0.25">
      <c r="B26">
        <v>11050</v>
      </c>
      <c r="C26" t="s">
        <v>36</v>
      </c>
    </row>
  </sheetData>
  <mergeCells count="2">
    <mergeCell ref="B4:C4"/>
    <mergeCell ref="B2:C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Dashboard</vt:lpstr>
      <vt:lpstr>Graph</vt:lpstr>
      <vt:lpstr>Data</vt:lpstr>
      <vt:lpstr>Config</vt:lpstr>
      <vt:lpstr>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 Tejedor</dc:creator>
  <cp:lastModifiedBy>Jose Luis Fernandez Tejedor</cp:lastModifiedBy>
  <dcterms:created xsi:type="dcterms:W3CDTF">2022-01-28T20:28:00Z</dcterms:created>
  <dcterms:modified xsi:type="dcterms:W3CDTF">2022-01-31T17:19:39Z</dcterms:modified>
</cp:coreProperties>
</file>